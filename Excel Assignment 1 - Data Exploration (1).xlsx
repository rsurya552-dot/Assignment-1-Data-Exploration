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52ae5e21e8bbd2/Desktop/DA/"/>
    </mc:Choice>
  </mc:AlternateContent>
  <xr:revisionPtr revIDLastSave="69" documentId="11_AE6035745C5AC9D6C759A76D5D31450AFDAE85B8" xr6:coauthVersionLast="47" xr6:coauthVersionMax="47" xr10:uidLastSave="{CAB808CC-5603-4077-8D58-19D96383ED41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Answers" sheetId="3" r:id="rId3"/>
  </sheets>
  <definedNames>
    <definedName name="_xlnm._FilterDatabase" localSheetId="1" hidden="1">Dataset!$A$1:$I$35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16" i="3" l="1"/>
  <c r="C10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22" i="3"/>
  <c r="C19" i="3"/>
  <c r="D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13" i="3"/>
  <c r="C7" i="3"/>
  <c r="C4" i="3"/>
  <c r="G20" i="2" l="1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<sst xmlns="http://schemas.openxmlformats.org/spreadsheetml/2006/main" count="170" uniqueCount="121">
  <si>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</si>
  <si>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</si>
  <si>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</si>
  <si>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</si>
  <si>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</si>
  <si>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</si>
  <si>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</si>
  <si>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</si>
  <si>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</si>
  <si>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</si>
  <si>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</si>
  <si>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</si>
  <si>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</si>
  <si>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</si>
  <si>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</si>
  <si>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</si>
  <si>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</si>
  <si>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</si>
  <si>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</si>
  <si>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</si>
  <si>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</si>
  <si>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</si>
  <si>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</si>
  <si>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</si>
  <si>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</si>
  <si>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</si>
  <si>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</si>
  <si>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</si>
  <si>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</si>
  <si>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</si>
  <si>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</si>
  <si>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</si>
  <si>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</si>
  <si>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</si>
  <si>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</si>
  <si>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</si>
  <si>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</si>
  <si>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</si>
  <si>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</si>
  <si>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</si>
  <si>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</si>
  <si>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</si>
  <si>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</si>
  <si>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</si>
  <si>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</si>
  <si>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</si>
  <si>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</si>
  <si>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</si>
  <si>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</si>
  <si>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</si>
  <si>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</si>
  <si>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</si>
  <si>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</si>
  <si>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</si>
  <si>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</si>
  <si>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</si>
  <si>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</si>
  <si>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</si>
  <si>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</si>
  <si>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</si>
  <si>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</si>
  <si>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</si>
  <si>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</si>
  <si>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</si>
  <si>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</si>
  <si>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</si>
  <si>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</si>
  <si>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</si>
  <si>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</si>
  <si>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</si>
  <si>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</si>
  <si>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</si>
  <si>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</si>
  <si>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</si>
  <si>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</si>
  <si>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</si>
  <si>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</si>
  <si>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</si>
  <si>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</si>
  <si>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</si>
  <si>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</si>
  <si>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</si>
  <si>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</si>
  <si>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</si>
  <si>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</si>
  <si>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</si>
  <si>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</si>
  <si>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</si>
  <si>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</si>
  <si>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</si>
  <si>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</si>
  <si>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</si>
  <si>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</si>
  <si>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</si>
  <si>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</si>
  <si>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</si>
  <si>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</si>
  <si>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</si>
  <si>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</si>
  <si>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</si>
  <si>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</si>
  <si>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</si>
  <si>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</si>
  <si>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</si>
  <si>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</si>
  <si>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</si>
  <si>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</si>
  <si>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</si>
  <si>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</si>
  <si>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</si>
  <si>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</si>
  <si>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</si>
  <si>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</si>
  <si>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</si>
  <si>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>Find the maximum price among all products.</t>
  </si>
  <si>
    <t>Price Range</t>
  </si>
  <si>
    <t>Calculate the total price for products in the 'Electronics' category using the SUMIF function.</t>
  </si>
  <si>
    <t>Determine the count of products with a price less than $100 using the COUNTIF function.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</si>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</sst>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0" borderId="1" xfId="0" applyFont="1" applyBorder="1"/>
    <xf numFmtId="0" fontId="0" fillId="0" borderId="1" xfId="0" applyBorder="1"/>
    <xf numFmtId="0" fontId="0" fillId="0" borderId="0" xfId="0" applyBorder="1"/>
    <xf numFmtId="0" fontId="5" fillId="4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C17" sqref="C1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J15" sqref="J1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13.33203125" style="10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115</v>
      </c>
      <c r="H1" s="12" t="s">
        <v>118</v>
      </c>
      <c r="I1" s="12" t="s">
        <v>119</v>
      </c>
      <c r="J1" s="12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8" t="str">
        <f>IF(D2&gt;=500,"High Price","Standard Price")</f>
        <v>High Price</v>
      </c>
      <c r="H2" s="9" t="str">
        <f>LEFT(A2,2)</f>
        <v>28</v>
      </c>
      <c r="I2" s="9" t="str">
        <f>RIGHT(A2,2)</f>
        <v>US</v>
      </c>
      <c r="J2" s="9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8" t="str">
        <f t="shared" ref="G3:G35" si="0">IF(D3&gt;=500,"High Price","Standard Price")</f>
        <v>Standard Price</v>
      </c>
      <c r="H3" s="9" t="str">
        <f t="shared" ref="H3:H35" si="1">LEFT(A3,2)</f>
        <v>15</v>
      </c>
      <c r="I3" s="9" t="str">
        <f t="shared" ref="I3:I35" si="2">RIGHT(A3,2)</f>
        <v>US</v>
      </c>
      <c r="J3" s="9" t="str">
        <f t="shared" ref="J3:J35" si="3">MID(A3,4,3)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8" t="str">
        <f t="shared" si="0"/>
        <v>Standard Price</v>
      </c>
      <c r="H4" s="9" t="str">
        <f t="shared" si="1"/>
        <v>03</v>
      </c>
      <c r="I4" s="9" t="str">
        <f t="shared" si="2"/>
        <v>US</v>
      </c>
      <c r="J4" s="9" t="str">
        <f t="shared" si="3"/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8" t="str">
        <f t="shared" si="0"/>
        <v>High Price</v>
      </c>
      <c r="H5" s="9" t="str">
        <f t="shared" si="1"/>
        <v>11</v>
      </c>
      <c r="I5" s="9" t="str">
        <f t="shared" si="2"/>
        <v>US</v>
      </c>
      <c r="J5" s="9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8" t="str">
        <f t="shared" si="0"/>
        <v>Standard Price</v>
      </c>
      <c r="H6" s="9" t="str">
        <f t="shared" si="1"/>
        <v>22</v>
      </c>
      <c r="I6" s="9" t="str">
        <f t="shared" si="2"/>
        <v>US</v>
      </c>
      <c r="J6" s="9" t="str">
        <f t="shared" si="3"/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8" t="str">
        <f t="shared" si="0"/>
        <v>Standard Price</v>
      </c>
      <c r="H7" s="9" t="str">
        <f t="shared" si="1"/>
        <v>07</v>
      </c>
      <c r="I7" s="9" t="str">
        <f t="shared" si="2"/>
        <v>UK</v>
      </c>
      <c r="J7" s="9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8" t="str">
        <f t="shared" si="0"/>
        <v>Standard Price</v>
      </c>
      <c r="H8" s="9" t="str">
        <f t="shared" si="1"/>
        <v>19</v>
      </c>
      <c r="I8" s="9" t="str">
        <f t="shared" si="2"/>
        <v>UK</v>
      </c>
      <c r="J8" s="9" t="str">
        <f t="shared" si="3"/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8" t="str">
        <f t="shared" si="0"/>
        <v>Standard Price</v>
      </c>
      <c r="H9" s="9" t="str">
        <f t="shared" si="1"/>
        <v>23</v>
      </c>
      <c r="I9" s="9" t="str">
        <f t="shared" si="2"/>
        <v>UK</v>
      </c>
      <c r="J9" s="9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8" t="str">
        <f t="shared" si="0"/>
        <v>High Price</v>
      </c>
      <c r="H10" s="9" t="str">
        <f t="shared" si="1"/>
        <v>05</v>
      </c>
      <c r="I10" s="9" t="str">
        <f t="shared" si="2"/>
        <v>UK</v>
      </c>
      <c r="J10" s="9" t="str">
        <f t="shared" si="3"/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8" t="str">
        <f t="shared" si="0"/>
        <v>Standard Price</v>
      </c>
      <c r="H11" s="9" t="str">
        <f t="shared" si="1"/>
        <v>14</v>
      </c>
      <c r="I11" s="9" t="str">
        <f t="shared" si="2"/>
        <v>UK</v>
      </c>
      <c r="J11" s="9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8" t="str">
        <f t="shared" si="0"/>
        <v>High Price</v>
      </c>
      <c r="H12" s="9" t="str">
        <f t="shared" si="1"/>
        <v>17</v>
      </c>
      <c r="I12" s="9" t="str">
        <f t="shared" si="2"/>
        <v>IN</v>
      </c>
      <c r="J12" s="9" t="str">
        <f t="shared" si="3"/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8" t="str">
        <f t="shared" si="0"/>
        <v>Standard Price</v>
      </c>
      <c r="H13" s="9" t="str">
        <f t="shared" si="1"/>
        <v>25</v>
      </c>
      <c r="I13" s="9" t="str">
        <f t="shared" si="2"/>
        <v>AU</v>
      </c>
      <c r="J13" s="9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8" t="str">
        <f t="shared" si="0"/>
        <v>Standard Price</v>
      </c>
      <c r="H14" s="9" t="str">
        <f t="shared" si="1"/>
        <v>08</v>
      </c>
      <c r="I14" s="9" t="str">
        <f t="shared" si="2"/>
        <v>DE</v>
      </c>
      <c r="J14" s="9" t="str">
        <f t="shared" si="3"/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8" t="str">
        <f t="shared" si="0"/>
        <v>Standard Price</v>
      </c>
      <c r="H15" s="9" t="str">
        <f t="shared" si="1"/>
        <v>18</v>
      </c>
      <c r="I15" s="9" t="str">
        <f t="shared" si="2"/>
        <v>CA</v>
      </c>
      <c r="J15" s="9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8" t="str">
        <f t="shared" si="0"/>
        <v>Standard Price</v>
      </c>
      <c r="H16" s="9" t="str">
        <f t="shared" si="1"/>
        <v>16</v>
      </c>
      <c r="I16" s="9" t="str">
        <f t="shared" si="2"/>
        <v>ES</v>
      </c>
      <c r="J16" s="9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8" t="str">
        <f t="shared" si="0"/>
        <v>Standard Price</v>
      </c>
      <c r="H17" s="9" t="str">
        <f t="shared" si="1"/>
        <v>21</v>
      </c>
      <c r="I17" s="9" t="str">
        <f t="shared" si="2"/>
        <v>CA</v>
      </c>
      <c r="J17" s="9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8" t="str">
        <f t="shared" si="0"/>
        <v>Standard Price</v>
      </c>
      <c r="H18" s="9" t="str">
        <f t="shared" si="1"/>
        <v>20</v>
      </c>
      <c r="I18" s="9" t="str">
        <f t="shared" si="2"/>
        <v>CN</v>
      </c>
      <c r="J18" s="9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8" t="str">
        <f t="shared" si="0"/>
        <v>High Price</v>
      </c>
      <c r="H19" s="9" t="str">
        <f t="shared" si="1"/>
        <v>27</v>
      </c>
      <c r="I19" s="9" t="str">
        <f t="shared" si="2"/>
        <v>IT</v>
      </c>
      <c r="J19" s="9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f>SUMIF(F2:F100,"Electronics",D2:D100)</f>
        <v>8050</v>
      </c>
      <c r="E20" s="6">
        <v>15</v>
      </c>
      <c r="F20" s="6" t="s">
        <v>30</v>
      </c>
      <c r="G20" s="8" t="str">
        <f t="shared" si="0"/>
        <v>High Price</v>
      </c>
      <c r="H20" s="9" t="str">
        <f t="shared" si="1"/>
        <v>01</v>
      </c>
      <c r="I20" s="9" t="str">
        <f t="shared" si="2"/>
        <v>UK</v>
      </c>
      <c r="J20" s="9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8" t="str">
        <f t="shared" si="0"/>
        <v>Standard Price</v>
      </c>
      <c r="H21" s="9" t="str">
        <f t="shared" si="1"/>
        <v>14</v>
      </c>
      <c r="I21" s="9" t="str">
        <f t="shared" si="2"/>
        <v>US</v>
      </c>
      <c r="J21" s="9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8" t="str">
        <f t="shared" si="0"/>
        <v>High Price</v>
      </c>
      <c r="H22" s="9" t="str">
        <f t="shared" si="1"/>
        <v>14</v>
      </c>
      <c r="I22" s="9" t="str">
        <f t="shared" si="2"/>
        <v>RU</v>
      </c>
      <c r="J22" s="9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8" t="str">
        <f t="shared" si="0"/>
        <v>Standard Price</v>
      </c>
      <c r="H23" s="9" t="str">
        <f t="shared" si="1"/>
        <v>09</v>
      </c>
      <c r="I23" s="9" t="str">
        <f t="shared" si="2"/>
        <v>CA</v>
      </c>
      <c r="J23" s="9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8" t="str">
        <f t="shared" si="0"/>
        <v>Standard Price</v>
      </c>
      <c r="H24" s="9" t="str">
        <f t="shared" si="1"/>
        <v>19</v>
      </c>
      <c r="I24" s="9" t="str">
        <f t="shared" si="2"/>
        <v>BR</v>
      </c>
      <c r="J24" s="9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 t="str">
        <f t="shared" si="0"/>
        <v>Standard Price</v>
      </c>
      <c r="H25" s="9" t="str">
        <f t="shared" si="1"/>
        <v>21</v>
      </c>
      <c r="I25" s="9" t="str">
        <f t="shared" si="2"/>
        <v>CA</v>
      </c>
      <c r="J25" s="9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8" t="str">
        <f t="shared" si="0"/>
        <v>High Price</v>
      </c>
      <c r="H26" s="9" t="str">
        <f t="shared" si="1"/>
        <v>29</v>
      </c>
      <c r="I26" s="9" t="str">
        <f t="shared" si="2"/>
        <v>CA</v>
      </c>
      <c r="J26" s="9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8" t="str">
        <f t="shared" si="0"/>
        <v>Standard Price</v>
      </c>
      <c r="H27" s="9" t="str">
        <f t="shared" si="1"/>
        <v>03</v>
      </c>
      <c r="I27" s="9" t="str">
        <f t="shared" si="2"/>
        <v>CA</v>
      </c>
      <c r="J27" s="9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8" t="str">
        <f t="shared" si="0"/>
        <v>Standard Price</v>
      </c>
      <c r="H28" s="9" t="str">
        <f t="shared" si="1"/>
        <v>11</v>
      </c>
      <c r="I28" s="9" t="str">
        <f t="shared" si="2"/>
        <v>CA</v>
      </c>
      <c r="J28" s="9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 t="str">
        <f t="shared" si="0"/>
        <v>Standard Price</v>
      </c>
      <c r="H29" s="9" t="str">
        <f t="shared" si="1"/>
        <v>16</v>
      </c>
      <c r="I29" s="9" t="str">
        <f t="shared" si="2"/>
        <v>ES</v>
      </c>
      <c r="J29" s="9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8" t="str">
        <f t="shared" si="0"/>
        <v>Standard Price</v>
      </c>
      <c r="H30" s="9" t="str">
        <f t="shared" si="1"/>
        <v>07</v>
      </c>
      <c r="I30" s="9" t="str">
        <f t="shared" si="2"/>
        <v>CA</v>
      </c>
      <c r="J30" s="9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8" t="str">
        <f t="shared" si="0"/>
        <v>Standard Price</v>
      </c>
      <c r="H31" s="9" t="str">
        <f t="shared" si="1"/>
        <v>13</v>
      </c>
      <c r="I31" s="9" t="str">
        <f t="shared" si="2"/>
        <v>CA</v>
      </c>
      <c r="J31" s="9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8" t="str">
        <f t="shared" si="0"/>
        <v>Standard Price</v>
      </c>
      <c r="H32" s="9" t="str">
        <f t="shared" si="1"/>
        <v>24</v>
      </c>
      <c r="I32" s="9" t="str">
        <f t="shared" si="2"/>
        <v>CA</v>
      </c>
      <c r="J32" s="9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8" t="str">
        <f t="shared" si="0"/>
        <v>Standard Price</v>
      </c>
      <c r="H33" s="9" t="str">
        <f t="shared" si="1"/>
        <v>02</v>
      </c>
      <c r="I33" s="9" t="str">
        <f t="shared" si="2"/>
        <v>CA</v>
      </c>
      <c r="J33" s="9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8" t="str">
        <f t="shared" si="0"/>
        <v>High Price</v>
      </c>
      <c r="H34" s="9" t="str">
        <f t="shared" si="1"/>
        <v>17</v>
      </c>
      <c r="I34" s="9" t="str">
        <f t="shared" si="2"/>
        <v>IN</v>
      </c>
      <c r="J34" s="9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8" t="str">
        <f t="shared" si="0"/>
        <v>Standard Price</v>
      </c>
      <c r="H35" s="9" t="str">
        <f t="shared" si="1"/>
        <v>09</v>
      </c>
      <c r="I35" s="9" t="str">
        <f t="shared" si="2"/>
        <v>FR</v>
      </c>
      <c r="J35" s="9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I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A4B3-5971-441F-A62E-C3E7D2B52C8A}">
  <dimension ref="B3:C22"/>
  <sheetViews>
    <sheetView workbookViewId="0">
      <selection activeCell="C19" sqref="C19"/>
    </sheetView>
  </sheetViews>
  <sheetFormatPr defaultRowHeight="13.2" x14ac:dyDescent="0.25"/>
  <cols>
    <col min="3" max="3" width="10.6640625" bestFit="1" customWidth="1"/>
  </cols>
  <sheetData>
    <row r="3" spans="2:3" x14ac:dyDescent="0.25">
      <c r="B3">
        <v>1</v>
      </c>
      <c r="C3" t="s">
        <v>110</v>
      </c>
    </row>
    <row r="4" spans="2:3" x14ac:dyDescent="0.25">
      <c r="C4" s="13">
        <f>SUM(Dataset!D2:D35)</f>
        <v>18000</v>
      </c>
    </row>
    <row r="6" spans="2:3" x14ac:dyDescent="0.25">
      <c r="B6">
        <v>2</v>
      </c>
      <c r="C6" t="s">
        <v>111</v>
      </c>
    </row>
    <row r="7" spans="2:3" x14ac:dyDescent="0.25">
      <c r="C7">
        <f>COUNTA(Dataset!B2:B35)</f>
        <v>34</v>
      </c>
    </row>
    <row r="9" spans="2:3" x14ac:dyDescent="0.25">
      <c r="B9">
        <v>3</v>
      </c>
      <c r="C9" t="s">
        <v>112</v>
      </c>
    </row>
    <row r="10" spans="2:3" x14ac:dyDescent="0.25">
      <c r="C10" s="13">
        <f>AVERAGE(Dataset!D2:D35)</f>
        <v>529.41176470588232</v>
      </c>
    </row>
    <row r="12" spans="2:3" x14ac:dyDescent="0.25">
      <c r="B12">
        <v>4</v>
      </c>
      <c r="C12" t="s">
        <v>113</v>
      </c>
    </row>
    <row r="13" spans="2:3" x14ac:dyDescent="0.25">
      <c r="C13" s="13">
        <f>MIN(Dataset!D2:D35)</f>
        <v>30</v>
      </c>
    </row>
    <row r="15" spans="2:3" x14ac:dyDescent="0.25">
      <c r="B15">
        <v>5</v>
      </c>
      <c r="C15" t="s">
        <v>114</v>
      </c>
    </row>
    <row r="16" spans="2:3" x14ac:dyDescent="0.25">
      <c r="C16" s="13">
        <f>MAX(Dataset!D2:D35)</f>
        <v>8050</v>
      </c>
    </row>
    <row r="18" spans="2:3" x14ac:dyDescent="0.25">
      <c r="B18">
        <v>6</v>
      </c>
      <c r="C18" t="s">
        <v>116</v>
      </c>
    </row>
    <row r="19" spans="2:3" x14ac:dyDescent="0.25">
      <c r="C19" s="13">
        <f>SUMIF(Dataset!F2:F35,"Electronics",Dataset!D2:D35)</f>
        <v>8050</v>
      </c>
    </row>
    <row r="21" spans="2:3" x14ac:dyDescent="0.25">
      <c r="B21">
        <v>7</v>
      </c>
      <c r="C21" t="s">
        <v>117</v>
      </c>
    </row>
    <row r="22" spans="2:3" x14ac:dyDescent="0.25">
      <c r="C22">
        <f>COUNTIF(Dataset!D2:D35,"&lt;100")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kizhakkethara</cp:lastModifiedBy>
  <dcterms:modified xsi:type="dcterms:W3CDTF">2026-09-17T17:36:56Z</dcterms:modified>
</cp:coreProperties>
</file>